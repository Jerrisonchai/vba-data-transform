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data-transform\DataCount\"/>
    </mc:Choice>
  </mc:AlternateContent>
  <xr:revisionPtr revIDLastSave="0" documentId="13_ncr:1_{05E5FDCE-71F6-4380-85ED-06FFAD49A80D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Dashboard" sheetId="2" r:id="rId1"/>
    <sheet name="Checking" sheetId="4" r:id="rId2"/>
    <sheet name="Data" sheetId="1" r:id="rId3"/>
    <sheet name="Reference" sheetId="5" r:id="rId4"/>
    <sheet name="LOG" sheetId="3" r:id="rId5"/>
  </sheets>
  <definedNames>
    <definedName name="_xlnm._FilterDatabase" localSheetId="2" hidden="1">Data!$A$1:$AO$1</definedName>
    <definedName name="_JERR" hidden="1">"Template produced by Jerrison"</definedName>
    <definedName name="Date">Dashboard!$C$8</definedName>
    <definedName name="Email_Body">Dashboard!$C$12</definedName>
    <definedName name="Folder_Location">Dashboard!$C$22</definedName>
    <definedName name="Folder_Navigation">Dashboard!$C$20</definedName>
    <definedName name="Last_Execution_Status">Dashboard!$C$25</definedName>
    <definedName name="Mailbox">Dashboard!$C$16</definedName>
    <definedName name="Start_Time">Dashboard!$C$27</definedName>
    <definedName name="Status">Dashboard!$C$26</definedName>
    <definedName name="Subject">Dashboard!$C$10</definedName>
    <definedName name="Time_Taken">Dashboard!$C$28</definedName>
    <definedName name="Top_Row_Number">Dashboard!$C$18</definedName>
    <definedName name="UserName">Dashboard!$C$29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7" i="2" l="1"/>
  <c r="C46" i="2"/>
  <c r="C45" i="2"/>
  <c r="C44" i="2"/>
  <c r="C43" i="2"/>
  <c r="C42" i="2"/>
  <c r="C41" i="2"/>
  <c r="C32" i="2"/>
  <c r="C10" i="2" l="1" a="1"/>
  <c r="C10" i="2" s="1"/>
  <c r="C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<sst xmlns="http://schemas.openxmlformats.org/spreadsheetml/2006/main" count="158" uniqueCount="93">
  <si>
    <t>Date</t>
  </si>
  <si>
    <t>Parameters</t>
  </si>
  <si>
    <t>Subject</t>
  </si>
  <si>
    <t>Folder to Convert Files</t>
  </si>
  <si>
    <t>Folder Navigation</t>
  </si>
  <si>
    <t>Last Execution Status</t>
  </si>
  <si>
    <t>Status</t>
  </si>
  <si>
    <t>Success</t>
  </si>
  <si>
    <t>Start Time</t>
  </si>
  <si>
    <t>Time Taken</t>
  </si>
  <si>
    <t>UserName</t>
  </si>
  <si>
    <t>Jerrison Chai</t>
  </si>
  <si>
    <t>Button</t>
  </si>
  <si>
    <t>Time</t>
  </si>
  <si>
    <t>User</t>
  </si>
  <si>
    <t>Start Macro or End Macro</t>
  </si>
  <si>
    <t>VBA Automation</t>
  </si>
  <si>
    <t>FileName</t>
  </si>
  <si>
    <t xml:space="preserve">Data count </t>
  </si>
  <si>
    <t>Raw Data CHECKING</t>
  </si>
  <si>
    <t>To avoid error, copy the whole raw data folder to your desktop first, use the folder on desktop as your location address</t>
  </si>
  <si>
    <t>Workbook version</t>
  </si>
  <si>
    <t>Data Count</t>
  </si>
  <si>
    <t>Version 1.00 - 06/03/2025</t>
  </si>
  <si>
    <t>HK</t>
  </si>
  <si>
    <t>MY</t>
  </si>
  <si>
    <t>PH</t>
  </si>
  <si>
    <t>SG</t>
  </si>
  <si>
    <t>TH</t>
  </si>
  <si>
    <t>TW</t>
  </si>
  <si>
    <t>VN</t>
  </si>
  <si>
    <t>Start Run</t>
  </si>
  <si>
    <t>Data count v1.00T.xlsm</t>
  </si>
  <si>
    <t>Ended Run</t>
  </si>
  <si>
    <t>Country</t>
  </si>
  <si>
    <t>Total Data</t>
  </si>
  <si>
    <t>Reset Template</t>
  </si>
  <si>
    <t>HK + MO</t>
  </si>
  <si>
    <t>eBay SAP Sales Report (Apr 24).xlsx</t>
  </si>
  <si>
    <t>eBay SAP Sales report (Jan - Mar 24).xlsx</t>
  </si>
  <si>
    <t>eBay SAP Sales Report (Jun 24).xlsx</t>
  </si>
  <si>
    <t>eBay SAP Sales Report (May 24).xlsx</t>
  </si>
  <si>
    <t>eBay SAP Sales Report (Oct 24).xlsx</t>
  </si>
  <si>
    <t>SAP eBay Sales Report (Dec 24).xlsx</t>
  </si>
  <si>
    <t>#</t>
  </si>
  <si>
    <t>Whse</t>
  </si>
  <si>
    <t>Type</t>
  </si>
  <si>
    <t>Cancel</t>
  </si>
  <si>
    <t>DocNum</t>
  </si>
  <si>
    <t>DocEntry</t>
  </si>
  <si>
    <t>DocDate</t>
  </si>
  <si>
    <t>Period</t>
  </si>
  <si>
    <t>Posting Date</t>
  </si>
  <si>
    <t>Customer Ref.No</t>
  </si>
  <si>
    <t>Customer Code</t>
  </si>
  <si>
    <t>Customer Name</t>
  </si>
  <si>
    <t>Market</t>
  </si>
  <si>
    <t>Department</t>
  </si>
  <si>
    <t>ItemCode</t>
  </si>
  <si>
    <t>Item Description</t>
  </si>
  <si>
    <t>Item Group</t>
  </si>
  <si>
    <t>AcctCode</t>
  </si>
  <si>
    <t>G/L Account Name</t>
  </si>
  <si>
    <t>CogsAcct</t>
  </si>
  <si>
    <t>COGS Account Name</t>
  </si>
  <si>
    <t>Item Quantity</t>
  </si>
  <si>
    <t>Currency</t>
  </si>
  <si>
    <t>Unit Selling Price (FC)</t>
  </si>
  <si>
    <t>Total Selling Amount (FC)</t>
  </si>
  <si>
    <t>Ex-rate</t>
  </si>
  <si>
    <t>Unit Selling Price (HKD)</t>
  </si>
  <si>
    <t>Total Selling Amount (HKD)</t>
  </si>
  <si>
    <t>Item Unit Cost (HKD)</t>
  </si>
  <si>
    <t>Item Total Unit Cost (HKD)</t>
  </si>
  <si>
    <t>Item Unit GP (HKD)</t>
  </si>
  <si>
    <t>Item Total GP Before Discount (HKD)</t>
  </si>
  <si>
    <t>GP% Before Discount Allocation</t>
  </si>
  <si>
    <t>Total Discount</t>
  </si>
  <si>
    <t>Total Amount (aft D)</t>
  </si>
  <si>
    <t>Discount Allocation</t>
  </si>
  <si>
    <t>Item Unit GP After Discount Allocation (HKD)</t>
  </si>
  <si>
    <t>Item Total GP After Discount (HKD)</t>
  </si>
  <si>
    <t>GP% After Discount Allocation</t>
  </si>
  <si>
    <t>SAP Lazada Sales Report for Dec 24 (CDN + FBL).xlsx</t>
  </si>
  <si>
    <t>SAP Shopee Sales Report for Dec 24.xlsx</t>
  </si>
  <si>
    <t>SAP Zalora Sales Report for Dec 24.xlsx</t>
  </si>
  <si>
    <t>DATA COUNT (SAP file only)</t>
  </si>
  <si>
    <t>C:\Users\Jerrison Chai\Documents\02 DEMO\TempRawData</t>
  </si>
  <si>
    <t>Category Columns</t>
  </si>
  <si>
    <t>Data Count Column</t>
  </si>
  <si>
    <t>A</t>
  </si>
  <si>
    <t>O</t>
  </si>
  <si>
    <t>sample.xlsm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</si>
</sst>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theme="1"/>
      <name val="Calibri"/>
      <family val="2"/>
    </font>
    <font>
      <i/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</borders>
  <cellStyleXfs count="2">
    <xf numFmtId="0" fontId="0" fillId="0" borderId="0"/>
    <xf numFmtId="0" fontId="5" fillId="0" borderId="0"/>
  </cellStyleXfs>
  <cellXfs count="41">
    <xf numFmtId="0" fontId="0" fillId="0" borderId="0" xfId="0"/>
    <xf numFmtId="0" fontId="0" fillId="2" borderId="0" xfId="0" applyFill="1" applyAlignment="1">
      <alignment horizontal="left" indent="1"/>
    </xf>
    <xf numFmtId="0" fontId="0" fillId="2" borderId="0" xfId="0" applyFill="1"/>
    <xf numFmtId="0" fontId="2" fillId="2" borderId="1" xfId="0" applyFont="1" applyFill="1" applyBorder="1" applyAlignment="1">
      <alignment horizontal="left" indent="1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Alignment="1">
      <alignment horizontal="left" indent="1"/>
    </xf>
    <xf numFmtId="0" fontId="0" fillId="2" borderId="5" xfId="0" applyFill="1" applyBorder="1"/>
    <xf numFmtId="0" fontId="3" fillId="2" borderId="6" xfId="0" applyFont="1" applyFill="1" applyBorder="1" applyAlignment="1">
      <alignment horizontal="left" indent="1"/>
    </xf>
    <xf numFmtId="0" fontId="0" fillId="2" borderId="7" xfId="0" applyFill="1" applyBorder="1"/>
    <xf numFmtId="0" fontId="0" fillId="2" borderId="8" xfId="0" applyFill="1" applyBorder="1"/>
    <xf numFmtId="0" fontId="1" fillId="2" borderId="4" xfId="0" applyFont="1" applyFill="1" applyBorder="1" applyAlignment="1">
      <alignment horizontal="left" indent="1"/>
    </xf>
    <xf numFmtId="14" fontId="0" fillId="3" borderId="9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3" borderId="9" xfId="0" applyFill="1" applyBorder="1"/>
    <xf numFmtId="0" fontId="4" fillId="2" borderId="0" xfId="0" applyFont="1" applyFill="1"/>
    <xf numFmtId="0" fontId="0" fillId="3" borderId="9" xfId="0" applyFill="1" applyBorder="1" applyAlignment="1">
      <alignment horizontal="left"/>
    </xf>
    <xf numFmtId="22" fontId="0" fillId="3" borderId="9" xfId="0" applyNumberFormat="1" applyFill="1" applyBorder="1" applyAlignment="1">
      <alignment horizontal="left"/>
    </xf>
    <xf numFmtId="21" fontId="0" fillId="3" borderId="9" xfId="0" applyNumberFormat="1" applyFill="1" applyBorder="1" applyAlignment="1">
      <alignment horizontal="left"/>
    </xf>
    <xf numFmtId="0" fontId="0" fillId="2" borderId="6" xfId="0" applyFill="1" applyBorder="1" applyAlignment="1">
      <alignment horizontal="left" indent="1"/>
    </xf>
    <xf numFmtId="0" fontId="1" fillId="3" borderId="0" xfId="0" applyFont="1" applyFill="1"/>
    <xf numFmtId="0" fontId="0" fillId="2" borderId="5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3" borderId="9" xfId="0" applyFill="1" applyBorder="1" applyAlignment="1">
      <alignment horizontal="center"/>
    </xf>
    <xf numFmtId="0" fontId="0" fillId="2" borderId="4" xfId="0" applyFill="1" applyBorder="1" applyAlignment="1">
      <alignment horizontal="left" vertical="center" indent="1"/>
    </xf>
    <xf numFmtId="0" fontId="0" fillId="4" borderId="9" xfId="0" applyFill="1" applyBorder="1" applyAlignment="1">
      <alignment vertical="center"/>
    </xf>
    <xf numFmtId="0" fontId="0" fillId="2" borderId="0" xfId="0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 indent="1"/>
    </xf>
    <xf numFmtId="0" fontId="1" fillId="2" borderId="4" xfId="0" applyFont="1" applyFill="1" applyBorder="1" applyAlignment="1">
      <alignment horizontal="left" vertical="center" indent="1"/>
    </xf>
    <xf numFmtId="0" fontId="1" fillId="2" borderId="0" xfId="0" applyFont="1" applyFill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6" fillId="2" borderId="0" xfId="0" applyFont="1" applyFill="1"/>
    <xf numFmtId="0" fontId="7" fillId="0" borderId="0" xfId="0" applyFont="1"/>
    <xf numFmtId="0" fontId="8" fillId="0" borderId="0" xfId="0" applyFont="1"/>
    <xf numFmtId="22" fontId="0" fillId="0" borderId="0" xfId="0" applyNumberFormat="1"/>
    <xf numFmtId="0" fontId="9" fillId="2" borderId="4" xfId="0" applyFont="1" applyFill="1" applyBorder="1" applyAlignment="1">
      <alignment horizontal="left" vertical="center" indent="1"/>
    </xf>
    <xf numFmtId="0" fontId="9" fillId="2" borderId="0" xfId="0" applyFont="1" applyFill="1" applyAlignment="1">
      <alignment horizontal="center" vertical="center"/>
    </xf>
    <xf numFmtId="14" fontId="0" fillId="0" borderId="0" xfId="0" applyNumberFormat="1" applyAlignment="1">
      <alignment horizontal="left"/>
    </xf>
    <xf numFmtId="164" fontId="0" fillId="0" borderId="0" xfId="0" applyNumberFormat="1"/>
    <xf numFmtId="0" fontId="0" fillId="4" borderId="10" xfId="0" applyFill="1" applyBorder="1" applyAlignment="1">
      <alignment horizontal="left" vertical="center" wrapText="1"/>
    </xf>
    <xf numFmtId="0" fontId="0" fillId="4" borderId="11" xfId="0" applyFill="1" applyBorder="1" applyAlignment="1">
      <alignment horizontal="left" vertical="center" wrapText="1"/>
    </xf>
  </cellXfs>
  <cellStyles count="2">
    <cellStyle name="Normal" xfId="0" builtinId="0"/>
    <cellStyle name="Normal 2" xfId="1" xr:uid="{5D47BC33-C888-48CA-8512-CB1389142FC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6</xdr:row>
      <xdr:rowOff>171450</xdr:rowOff>
    </xdr:from>
    <xdr:to>
      <xdr:col>6</xdr:col>
      <xdr:colOff>476250</xdr:colOff>
      <xdr:row>10</xdr:row>
      <xdr:rowOff>0</xdr:rowOff>
    </xdr:to>
    <xdr:sp macro="[0]!Reset" textlink="">
      <xdr:nvSpPr>
        <xdr:cNvPr id="3" name="Reset Templat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40137" y="1424195"/>
          <a:ext cx="2051602" cy="460098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FFFFFF"/>
              </a:solidFill>
            </a:rPr>
            <a:t>Reset Template</a:t>
          </a:r>
        </a:p>
      </xdr:txBody>
    </xdr:sp>
    <xdr:clientData/>
  </xdr:twoCellAnchor>
  <xdr:twoCellAnchor>
    <xdr:from>
      <xdr:col>3</xdr:col>
      <xdr:colOff>238125</xdr:colOff>
      <xdr:row>12</xdr:row>
      <xdr:rowOff>9525</xdr:rowOff>
    </xdr:from>
    <xdr:to>
      <xdr:col>6</xdr:col>
      <xdr:colOff>457200</xdr:colOff>
      <xdr:row>17</xdr:row>
      <xdr:rowOff>171450</xdr:rowOff>
    </xdr:to>
    <xdr:sp macro="[0]!Nextfolder" textlink="">
      <xdr:nvSpPr>
        <xdr:cNvPr id="6" name="Next" hidden="1">
          <a:extLst>
            <a:ext uri="{FF2B5EF4-FFF2-40B4-BE49-F238E27FC236}">
              <a16:creationId xmlns:a16="http://schemas.microsoft.com/office/drawing/2014/main" id="{27685D42-D92A-4A83-936F-ABF164937142}"/>
            </a:ext>
          </a:extLst>
        </xdr:cNvPr>
        <xdr:cNvSpPr/>
      </xdr:nvSpPr>
      <xdr:spPr>
        <a:xfrm>
          <a:off x="4724400" y="1971675"/>
          <a:ext cx="2047875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FFFFFF"/>
              </a:solidFill>
            </a:rPr>
            <a:t>Next</a:t>
          </a:r>
          <a:r>
            <a:rPr lang="en-MY" sz="1400" b="1" baseline="0">
              <a:solidFill>
                <a:srgbClr val="FFFFFF"/>
              </a:solidFill>
            </a:rPr>
            <a:t> folder</a:t>
          </a:r>
        </a:p>
      </xdr:txBody>
    </xdr:sp>
    <xdr:clientData/>
  </xdr:twoCellAnchor>
  <xdr:twoCellAnchor>
    <xdr:from>
      <xdr:col>3</xdr:col>
      <xdr:colOff>142045</xdr:colOff>
      <xdr:row>22</xdr:row>
      <xdr:rowOff>122168</xdr:rowOff>
    </xdr:from>
    <xdr:to>
      <xdr:col>6</xdr:col>
      <xdr:colOff>517664</xdr:colOff>
      <xdr:row>24</xdr:row>
      <xdr:rowOff>7868</xdr:rowOff>
    </xdr:to>
    <xdr:sp macro="[0]!CountData.CountData" textlink="">
      <xdr:nvSpPr>
        <xdr:cNvPr id="8" name="Merge Data2">
          <a:extLst>
            <a:ext uri="{FF2B5EF4-FFF2-40B4-BE49-F238E27FC236}">
              <a16:creationId xmlns:a16="http://schemas.microsoft.com/office/drawing/2014/main" id="{6D960CAA-194E-45BC-BF7B-BA2F2B4EB79D}"/>
            </a:ext>
          </a:extLst>
        </xdr:cNvPr>
        <xdr:cNvSpPr/>
      </xdr:nvSpPr>
      <xdr:spPr>
        <a:xfrm>
          <a:off x="4625007" y="4449831"/>
          <a:ext cx="2208146" cy="465483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 baseline="0">
              <a:solidFill>
                <a:srgbClr val="FFFFFF"/>
              </a:solidFill>
            </a:rPr>
            <a:t>Check Data (Single folder)</a:t>
          </a:r>
          <a:endParaRPr lang="en-MY" sz="14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49"/>
  <sheetViews>
    <sheetView tabSelected="1" zoomScale="92" zoomScaleNormal="92" workbookViewId="0">
      <selection activeCell="B31" sqref="B31"/>
    </sheetView>
  </sheetViews>
  <sheetFormatPr defaultColWidth="0" defaultRowHeight="15" customHeight="1" zeroHeight="1" x14ac:dyDescent="0.25"/>
  <cols>
    <col min="1" max="1" width="2.85546875" style="2" customWidth="1"/>
    <col min="2" max="2" width="25.7109375" style="1" customWidth="1"/>
    <col min="3" max="3" width="38.7109375" style="2" customWidth="1"/>
    <col min="4" max="6" width="9.140625" style="2" customWidth="1"/>
    <col min="7" max="7" width="18.5703125" style="2" customWidth="1"/>
    <col min="8" max="8" width="9.140625" style="2" customWidth="1"/>
    <col min="9" max="9" width="2.85546875" style="2" customWidth="1"/>
    <col min="10" max="16384" width="9.140625" style="2" hidden="1"/>
  </cols>
  <sheetData>
    <row r="1" spans="1:9" ht="15.75" thickBot="1" x14ac:dyDescent="0.3"/>
    <row r="2" spans="1:9" ht="23.25" x14ac:dyDescent="0.35">
      <c r="B2" s="3" t="s">
        <v>86</v>
      </c>
      <c r="C2" s="4"/>
      <c r="D2" s="4"/>
      <c r="E2" s="4"/>
      <c r="F2" s="4"/>
      <c r="G2" s="4"/>
      <c r="H2" s="5"/>
    </row>
    <row r="3" spans="1:9" x14ac:dyDescent="0.25">
      <c r="B3" s="6" t="s">
        <v>16</v>
      </c>
      <c r="H3" s="7"/>
    </row>
    <row r="4" spans="1:9" ht="15.75" thickBot="1" x14ac:dyDescent="0.3">
      <c r="B4" s="8" t="s">
        <v>23</v>
      </c>
      <c r="C4" s="9"/>
      <c r="D4" s="9"/>
      <c r="E4" s="9"/>
      <c r="F4" s="9"/>
      <c r="G4" s="9"/>
      <c r="H4" s="10"/>
    </row>
    <row r="5" spans="1:9" x14ac:dyDescent="0.25">
      <c r="B5" s="6"/>
      <c r="H5" s="7"/>
    </row>
    <row r="6" spans="1:9" x14ac:dyDescent="0.25">
      <c r="B6" s="6"/>
      <c r="H6" s="7"/>
    </row>
    <row r="7" spans="1:9" ht="15.75" thickBot="1" x14ac:dyDescent="0.3">
      <c r="B7" s="11" t="s">
        <v>1</v>
      </c>
      <c r="H7" s="7"/>
    </row>
    <row r="8" spans="1:9" x14ac:dyDescent="0.25">
      <c r="B8" s="6" t="s">
        <v>0</v>
      </c>
      <c r="C8" s="12">
        <f ca="1">TODAY()</f>
        <v>45897</v>
      </c>
      <c r="H8" s="7"/>
    </row>
    <row r="9" spans="1:9" ht="4.5" customHeight="1" thickBot="1" x14ac:dyDescent="0.3">
      <c r="B9" s="6"/>
      <c r="C9" s="13">
        <v>13</v>
      </c>
      <c r="H9" s="7"/>
    </row>
    <row r="10" spans="1:9" x14ac:dyDescent="0.25">
      <c r="B10" s="6" t="s">
        <v>2</v>
      </c>
      <c r="C10" s="14" t="str" cm="1">
        <f t="array" ref="C10">IFERROR(INDEX(Reference!#REF!,MATCH(Dashboard!C9,Reference!#REF!,0),0)&amp;"","")</f>
        <v/>
      </c>
      <c r="H10" s="7"/>
    </row>
    <row r="11" spans="1:9" ht="4.5" customHeight="1" x14ac:dyDescent="0.25">
      <c r="B11" s="6"/>
      <c r="H11" s="7"/>
    </row>
    <row r="12" spans="1:9" hidden="1" x14ac:dyDescent="0.25">
      <c r="B12" s="6"/>
      <c r="C12" s="14"/>
      <c r="H12" s="7"/>
    </row>
    <row r="13" spans="1:9" ht="4.5" hidden="1" customHeight="1" thickBot="1" x14ac:dyDescent="0.3">
      <c r="B13" s="6"/>
      <c r="H13" s="7"/>
    </row>
    <row r="14" spans="1:9" customFormat="1" hidden="1" x14ac:dyDescent="0.25">
      <c r="A14" s="2"/>
      <c r="B14" s="24"/>
      <c r="C14" s="25"/>
      <c r="D14" s="2"/>
      <c r="E14" s="26"/>
      <c r="F14" s="22"/>
      <c r="G14" s="2"/>
      <c r="H14" s="7"/>
      <c r="I14" s="2"/>
    </row>
    <row r="15" spans="1:9" ht="4.5" customHeight="1" x14ac:dyDescent="0.25">
      <c r="B15" s="6"/>
      <c r="H15" s="7"/>
    </row>
    <row r="16" spans="1:9" x14ac:dyDescent="0.25">
      <c r="B16" s="11" t="s">
        <v>3</v>
      </c>
      <c r="H16" s="7"/>
    </row>
    <row r="17" spans="2:8" ht="4.5" customHeight="1" x14ac:dyDescent="0.25">
      <c r="B17" s="6"/>
      <c r="H17" s="7"/>
    </row>
    <row r="18" spans="2:8" s="22" customFormat="1" hidden="1" x14ac:dyDescent="0.25">
      <c r="B18" s="24"/>
      <c r="C18" s="30"/>
      <c r="H18" s="21"/>
    </row>
    <row r="19" spans="2:8" s="22" customFormat="1" ht="21" customHeight="1" thickBot="1" x14ac:dyDescent="0.25">
      <c r="B19" s="24"/>
      <c r="C19" s="31" t="s">
        <v>20</v>
      </c>
      <c r="H19" s="21"/>
    </row>
    <row r="20" spans="2:8" s="22" customFormat="1" ht="21.75" customHeight="1" thickBot="1" x14ac:dyDescent="0.3">
      <c r="B20" s="24" t="s">
        <v>4</v>
      </c>
      <c r="C20" s="39" t="s">
        <v>87</v>
      </c>
      <c r="D20" s="40"/>
      <c r="E20" s="40"/>
      <c r="F20" s="40"/>
      <c r="G20" s="40"/>
      <c r="H20" s="21"/>
    </row>
    <row r="21" spans="2:8" s="22" customFormat="1" ht="21.75" customHeight="1" thickBot="1" x14ac:dyDescent="0.3">
      <c r="B21" s="24" t="s">
        <v>88</v>
      </c>
      <c r="C21" s="39" t="s">
        <v>91</v>
      </c>
      <c r="D21" s="40"/>
      <c r="E21" s="40"/>
      <c r="F21" s="40"/>
      <c r="G21" s="40"/>
      <c r="H21" s="21"/>
    </row>
    <row r="22" spans="2:8" s="22" customFormat="1" ht="21.75" customHeight="1" x14ac:dyDescent="0.25">
      <c r="B22" s="24" t="s">
        <v>89</v>
      </c>
      <c r="C22" s="39" t="s">
        <v>90</v>
      </c>
      <c r="D22" s="40"/>
      <c r="E22" s="40"/>
      <c r="F22" s="40"/>
      <c r="G22" s="40"/>
      <c r="H22" s="21"/>
    </row>
    <row r="23" spans="2:8" ht="21.75" customHeight="1" x14ac:dyDescent="0.25">
      <c r="B23" s="6"/>
      <c r="C23" s="15"/>
      <c r="H23" s="7"/>
    </row>
    <row r="24" spans="2:8" x14ac:dyDescent="0.25">
      <c r="B24" s="6"/>
      <c r="H24" s="7"/>
    </row>
    <row r="25" spans="2:8" ht="15.75" thickBot="1" x14ac:dyDescent="0.3">
      <c r="B25" s="11" t="s">
        <v>5</v>
      </c>
      <c r="H25" s="7"/>
    </row>
    <row r="26" spans="2:8" ht="15.75" thickBot="1" x14ac:dyDescent="0.3">
      <c r="B26" s="6" t="s">
        <v>6</v>
      </c>
      <c r="C26" s="16" t="s">
        <v>7</v>
      </c>
      <c r="H26" s="7"/>
    </row>
    <row r="27" spans="2:8" ht="15.75" thickBot="1" x14ac:dyDescent="0.3">
      <c r="B27" s="6" t="s">
        <v>8</v>
      </c>
      <c r="C27" s="17">
        <v>45897.615752314814</v>
      </c>
      <c r="H27" s="7"/>
    </row>
    <row r="28" spans="2:8" ht="15.75" thickBot="1" x14ac:dyDescent="0.3">
      <c r="B28" s="6" t="s">
        <v>9</v>
      </c>
      <c r="C28" s="18">
        <v>0</v>
      </c>
      <c r="H28" s="7"/>
    </row>
    <row r="29" spans="2:8" x14ac:dyDescent="0.25">
      <c r="B29" s="6" t="s">
        <v>10</v>
      </c>
      <c r="C29" s="16" t="s">
        <v>11</v>
      </c>
      <c r="H29" s="7"/>
    </row>
    <row r="30" spans="2:8" x14ac:dyDescent="0.25">
      <c r="B30" s="6"/>
      <c r="H30" s="7"/>
    </row>
    <row r="31" spans="2:8" ht="15.75" thickBot="1" x14ac:dyDescent="0.3">
      <c r="B31" s="6"/>
      <c r="H31" s="7"/>
    </row>
    <row r="32" spans="2:8" x14ac:dyDescent="0.25">
      <c r="B32" s="6" t="s">
        <v>18</v>
      </c>
      <c r="C32" s="16">
        <f>SUM(Checking!B:B)</f>
        <v>3956</v>
      </c>
      <c r="H32" s="7"/>
    </row>
    <row r="33" spans="2:8" x14ac:dyDescent="0.25">
      <c r="B33" s="6"/>
      <c r="H33" s="7"/>
    </row>
    <row r="34" spans="2:8" ht="15.75" thickBot="1" x14ac:dyDescent="0.3">
      <c r="B34" s="19"/>
      <c r="C34" s="9"/>
      <c r="D34" s="9"/>
      <c r="E34" s="9"/>
      <c r="F34" s="9"/>
      <c r="G34" s="9"/>
      <c r="H34" s="10"/>
    </row>
    <row r="35" spans="2:8" x14ac:dyDescent="0.25"/>
    <row r="36" spans="2:8" hidden="1" x14ac:dyDescent="0.25">
      <c r="C36" s="16"/>
      <c r="D36" s="23"/>
      <c r="E36" s="23"/>
    </row>
    <row r="37" spans="2:8" ht="15" customHeight="1" thickBot="1" x14ac:dyDescent="0.3"/>
    <row r="38" spans="2:8" ht="15" customHeight="1" x14ac:dyDescent="0.25">
      <c r="B38" s="27" t="s">
        <v>19</v>
      </c>
      <c r="C38" s="4"/>
      <c r="D38" s="4"/>
      <c r="E38" s="4"/>
      <c r="F38" s="4"/>
      <c r="G38" s="4"/>
      <c r="H38" s="5"/>
    </row>
    <row r="39" spans="2:8" ht="15" customHeight="1" x14ac:dyDescent="0.25">
      <c r="B39" s="6"/>
      <c r="H39" s="7"/>
    </row>
    <row r="40" spans="2:8" ht="15" customHeight="1" x14ac:dyDescent="0.25">
      <c r="B40" s="35" t="s">
        <v>34</v>
      </c>
      <c r="C40" s="36" t="s">
        <v>35</v>
      </c>
      <c r="F40" s="22"/>
      <c r="H40" s="7"/>
    </row>
    <row r="41" spans="2:8" ht="15" customHeight="1" x14ac:dyDescent="0.25">
      <c r="B41" s="28" t="s">
        <v>37</v>
      </c>
      <c r="C41" s="29">
        <f>SUM(Checking!C:C)</f>
        <v>78</v>
      </c>
      <c r="F41" s="22"/>
      <c r="H41" s="7"/>
    </row>
    <row r="42" spans="2:8" ht="15" customHeight="1" x14ac:dyDescent="0.25">
      <c r="B42" s="28" t="s">
        <v>25</v>
      </c>
      <c r="C42" s="29">
        <f>SUM(Checking!D:D)</f>
        <v>1321</v>
      </c>
      <c r="F42" s="22"/>
      <c r="H42" s="7"/>
    </row>
    <row r="43" spans="2:8" ht="15" customHeight="1" x14ac:dyDescent="0.25">
      <c r="B43" s="28" t="s">
        <v>26</v>
      </c>
      <c r="C43" s="29">
        <f>SUM(Checking!E:E)</f>
        <v>658</v>
      </c>
      <c r="F43" s="22"/>
      <c r="H43" s="7"/>
    </row>
    <row r="44" spans="2:8" ht="15" customHeight="1" x14ac:dyDescent="0.25">
      <c r="B44" s="28" t="s">
        <v>27</v>
      </c>
      <c r="C44" s="29">
        <f>SUM(Checking!F:F)</f>
        <v>925</v>
      </c>
      <c r="F44" s="22"/>
      <c r="H44" s="7"/>
    </row>
    <row r="45" spans="2:8" ht="15" customHeight="1" x14ac:dyDescent="0.25">
      <c r="B45" s="28" t="s">
        <v>28</v>
      </c>
      <c r="C45" s="29">
        <f>SUM(Checking!G:G)</f>
        <v>126</v>
      </c>
      <c r="F45" s="22"/>
      <c r="H45" s="7"/>
    </row>
    <row r="46" spans="2:8" ht="15" customHeight="1" x14ac:dyDescent="0.25">
      <c r="B46" s="28" t="s">
        <v>29</v>
      </c>
      <c r="C46" s="29">
        <f>SUM(Checking!H:H)</f>
        <v>10</v>
      </c>
      <c r="F46" s="22"/>
      <c r="H46" s="7"/>
    </row>
    <row r="47" spans="2:8" ht="15" customHeight="1" x14ac:dyDescent="0.25">
      <c r="B47" s="28" t="s">
        <v>30</v>
      </c>
      <c r="C47" s="29">
        <f>SUM(Checking!I:I)</f>
        <v>39</v>
      </c>
      <c r="F47" s="22"/>
      <c r="H47" s="7"/>
    </row>
    <row r="48" spans="2:8" ht="15" customHeight="1" thickBot="1" x14ac:dyDescent="0.3">
      <c r="B48" s="19"/>
      <c r="C48" s="9"/>
      <c r="D48" s="9"/>
      <c r="E48" s="9"/>
      <c r="F48" s="9"/>
      <c r="G48" s="9"/>
      <c r="H48" s="10"/>
    </row>
    <row r="49" ht="15" customHeight="1" x14ac:dyDescent="0.25"/>
  </sheetData>
  <mergeCells count="3">
    <mergeCell ref="C22:G22"/>
    <mergeCell ref="C20:G20"/>
    <mergeCell ref="C21:G21"/>
  </mergeCells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2E6225-4C92-49BA-B697-4A2B9C5C1B56}">
          <x14:formula1>
            <xm:f>OFFSET(Reference!#REF!,1,MATCH("NAV Period",Reference!#REF!,0)-1,COUNTA(OFFSET(Reference!#REF!,1,MATCH("NAV Period",Reference!#REF!,0)-1,40,1)),1)</xm:f>
          </x14:formula1>
          <xm:sqref>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10"/>
  <sheetViews>
    <sheetView zoomScale="92" zoomScaleNormal="70" workbookViewId="0">
      <selection activeCell="A2" sqref="A2"/>
    </sheetView>
  </sheetViews>
  <sheetFormatPr defaultRowHeight="15" x14ac:dyDescent="0.25"/>
  <cols>
    <col min="1" max="1" width="61" customWidth="1"/>
    <col min="2" max="2" width="19.85546875" customWidth="1"/>
    <col min="3" max="3" width="8.85546875" customWidth="1"/>
  </cols>
  <sheetData>
    <row r="1" spans="1:9" s="32" customFormat="1" ht="21" x14ac:dyDescent="0.35">
      <c r="A1" s="33" t="s">
        <v>17</v>
      </c>
      <c r="B1" s="33" t="s">
        <v>22</v>
      </c>
      <c r="C1" s="32" t="s">
        <v>24</v>
      </c>
      <c r="D1" s="32" t="s">
        <v>25</v>
      </c>
      <c r="E1" s="32" t="s">
        <v>26</v>
      </c>
      <c r="F1" s="32" t="s">
        <v>27</v>
      </c>
      <c r="G1" s="32" t="s">
        <v>28</v>
      </c>
      <c r="H1" s="32" t="s">
        <v>29</v>
      </c>
      <c r="I1" s="32" t="s">
        <v>30</v>
      </c>
    </row>
    <row r="2" spans="1:9" x14ac:dyDescent="0.25">
      <c r="A2" t="s">
        <v>38</v>
      </c>
      <c r="B2">
        <v>100</v>
      </c>
      <c r="C2">
        <v>0</v>
      </c>
      <c r="D2">
        <v>0</v>
      </c>
      <c r="E2">
        <v>0</v>
      </c>
      <c r="F2">
        <v>0</v>
      </c>
      <c r="G2">
        <v>8</v>
      </c>
      <c r="H2">
        <v>3</v>
      </c>
      <c r="I2">
        <v>0</v>
      </c>
    </row>
    <row r="3" spans="1:9" x14ac:dyDescent="0.25">
      <c r="A3" t="s">
        <v>39</v>
      </c>
      <c r="B3">
        <v>498</v>
      </c>
      <c r="C3">
        <v>0</v>
      </c>
      <c r="D3">
        <v>0</v>
      </c>
      <c r="E3">
        <v>0</v>
      </c>
      <c r="F3">
        <v>0</v>
      </c>
      <c r="G3">
        <v>13</v>
      </c>
      <c r="H3">
        <v>5</v>
      </c>
      <c r="I3">
        <v>0</v>
      </c>
    </row>
    <row r="4" spans="1:9" x14ac:dyDescent="0.25">
      <c r="A4" t="s">
        <v>40</v>
      </c>
      <c r="B4">
        <v>46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 t="s">
        <v>41</v>
      </c>
      <c r="B5">
        <v>75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5">
      <c r="A6" t="s">
        <v>42</v>
      </c>
      <c r="B6">
        <v>64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43</v>
      </c>
      <c r="B7">
        <v>43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25">
      <c r="A8" t="s">
        <v>83</v>
      </c>
      <c r="B8">
        <v>1367</v>
      </c>
      <c r="C8">
        <v>0</v>
      </c>
      <c r="D8">
        <v>446</v>
      </c>
      <c r="E8">
        <v>416</v>
      </c>
      <c r="F8">
        <v>504</v>
      </c>
      <c r="G8">
        <v>1</v>
      </c>
      <c r="H8">
        <v>0</v>
      </c>
      <c r="I8">
        <v>0</v>
      </c>
    </row>
    <row r="9" spans="1:9" x14ac:dyDescent="0.25">
      <c r="A9" t="s">
        <v>84</v>
      </c>
      <c r="B9">
        <v>1406</v>
      </c>
      <c r="C9">
        <v>0</v>
      </c>
      <c r="D9">
        <v>719</v>
      </c>
      <c r="E9">
        <v>238</v>
      </c>
      <c r="F9">
        <v>306</v>
      </c>
      <c r="G9">
        <v>104</v>
      </c>
      <c r="H9">
        <v>0</v>
      </c>
      <c r="I9">
        <v>39</v>
      </c>
    </row>
    <row r="10" spans="1:9" x14ac:dyDescent="0.25">
      <c r="A10" t="s">
        <v>85</v>
      </c>
      <c r="B10">
        <v>357</v>
      </c>
      <c r="C10">
        <v>78</v>
      </c>
      <c r="D10">
        <v>156</v>
      </c>
      <c r="E10">
        <v>4</v>
      </c>
      <c r="F10">
        <v>115</v>
      </c>
      <c r="G10">
        <v>0</v>
      </c>
      <c r="H10">
        <v>2</v>
      </c>
      <c r="I10">
        <v>0</v>
      </c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00"/>
  </sheetPr>
  <dimension ref="A1:AQ1"/>
  <sheetViews>
    <sheetView workbookViewId="0">
      <pane ySplit="1" topLeftCell="A31" activePane="bottomLeft" state="frozen"/>
      <selection pane="bottomLeft" activeCell="E66" sqref="E66"/>
    </sheetView>
  </sheetViews>
  <sheetFormatPr defaultRowHeight="15" x14ac:dyDescent="0.25"/>
  <cols>
    <col min="1" max="1" width="2" bestFit="1" customWidth="1"/>
    <col min="2" max="2" width="6" style="37" bestFit="1" customWidth="1"/>
    <col min="3" max="3" width="5.28515625" bestFit="1" customWidth="1"/>
    <col min="9" max="9" width="11.7109375" style="38" bestFit="1" customWidth="1"/>
    <col min="13" max="13" width="10.28515625" bestFit="1" customWidth="1"/>
    <col min="15" max="15" width="14.7109375" customWidth="1"/>
    <col min="16" max="16" width="11" bestFit="1" customWidth="1"/>
    <col min="20" max="20" width="9.28515625" bestFit="1" customWidth="1"/>
    <col min="21" max="21" width="17.5703125" bestFit="1" customWidth="1"/>
    <col min="22" max="22" width="8.85546875" bestFit="1" customWidth="1"/>
    <col min="23" max="23" width="19.42578125" bestFit="1" customWidth="1"/>
    <col min="24" max="24" width="18.42578125" bestFit="1" customWidth="1"/>
    <col min="25" max="25" width="8.85546875" bestFit="1" customWidth="1"/>
    <col min="26" max="26" width="13.42578125" bestFit="1" customWidth="1"/>
    <col min="27" max="27" width="8.85546875" bestFit="1" customWidth="1"/>
    <col min="28" max="28" width="20.28515625" bestFit="1" customWidth="1"/>
    <col min="29" max="29" width="23.85546875" bestFit="1" customWidth="1"/>
    <col min="30" max="30" width="7.28515625" bestFit="1" customWidth="1"/>
    <col min="31" max="31" width="22" bestFit="1" customWidth="1"/>
    <col min="32" max="32" width="25.5703125" bestFit="1" customWidth="1"/>
    <col min="33" max="33" width="19.42578125" bestFit="1" customWidth="1"/>
    <col min="34" max="34" width="24.42578125" bestFit="1" customWidth="1"/>
    <col min="35" max="35" width="18" bestFit="1" customWidth="1"/>
    <col min="36" max="36" width="33.85546875" bestFit="1" customWidth="1"/>
    <col min="37" max="37" width="29.7109375" bestFit="1" customWidth="1"/>
    <col min="38" max="38" width="13.7109375" bestFit="1" customWidth="1"/>
    <col min="39" max="39" width="19.28515625" bestFit="1" customWidth="1"/>
    <col min="40" max="40" width="18.42578125" bestFit="1" customWidth="1"/>
    <col min="41" max="41" width="41.28515625" bestFit="1" customWidth="1"/>
    <col min="42" max="42" width="32.28515625" bestFit="1" customWidth="1"/>
    <col min="43" max="43" width="28.140625" bestFit="1" customWidth="1"/>
  </cols>
  <sheetData>
    <row r="1" spans="1:43" x14ac:dyDescent="0.25">
      <c r="A1" t="s">
        <v>44</v>
      </c>
      <c r="B1" t="s">
        <v>45</v>
      </c>
      <c r="C1" t="s">
        <v>46</v>
      </c>
      <c r="D1" t="s">
        <v>6</v>
      </c>
      <c r="E1" t="s">
        <v>47</v>
      </c>
      <c r="F1" t="s">
        <v>48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34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53</v>
      </c>
      <c r="Y1" t="s">
        <v>47</v>
      </c>
      <c r="Z1" t="s">
        <v>65</v>
      </c>
      <c r="AA1" t="s">
        <v>66</v>
      </c>
      <c r="AB1" t="s">
        <v>67</v>
      </c>
      <c r="AC1" t="s">
        <v>68</v>
      </c>
      <c r="AD1" t="s">
        <v>69</v>
      </c>
      <c r="AE1" t="s">
        <v>70</v>
      </c>
      <c r="AF1" t="s">
        <v>71</v>
      </c>
      <c r="AG1" t="s">
        <v>72</v>
      </c>
      <c r="AH1" t="s">
        <v>73</v>
      </c>
      <c r="AI1" t="s">
        <v>74</v>
      </c>
      <c r="AJ1" t="s">
        <v>75</v>
      </c>
      <c r="AK1" t="s">
        <v>76</v>
      </c>
      <c r="AL1" t="s">
        <v>77</v>
      </c>
      <c r="AM1" t="s">
        <v>78</v>
      </c>
      <c r="AN1" t="s">
        <v>79</v>
      </c>
      <c r="AO1" t="s">
        <v>80</v>
      </c>
      <c r="AP1" t="s">
        <v>81</v>
      </c>
      <c r="AQ1" t="s">
        <v>82</v>
      </c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3BE94-5B20-46AD-802D-728DA280E14F}">
  <sheetPr codeName="Sheet5"/>
  <dimension ref="A1"/>
  <sheetViews>
    <sheetView workbookViewId="0">
      <selection activeCell="L1" sqref="A1:L1048576"/>
    </sheetView>
  </sheetViews>
  <sheetFormatPr defaultRowHeight="15" x14ac:dyDescent="0.25"/>
  <sheetData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9"/>
  <sheetViews>
    <sheetView workbookViewId="0">
      <selection activeCell="A2" sqref="A2:XFD800"/>
    </sheetView>
  </sheetViews>
  <sheetFormatPr defaultRowHeight="15" x14ac:dyDescent="0.25"/>
  <cols>
    <col min="1" max="3" width="23.28515625" customWidth="1"/>
    <col min="4" max="4" width="26.42578125" customWidth="1"/>
    <col min="5" max="5" width="30.85546875" bestFit="1" customWidth="1"/>
  </cols>
  <sheetData>
    <row r="1" spans="1:5" x14ac:dyDescent="0.25">
      <c r="A1" s="20" t="s">
        <v>12</v>
      </c>
      <c r="B1" s="20" t="s">
        <v>13</v>
      </c>
      <c r="C1" s="20" t="s">
        <v>14</v>
      </c>
      <c r="D1" s="20" t="s">
        <v>15</v>
      </c>
      <c r="E1" s="20" t="s">
        <v>21</v>
      </c>
    </row>
    <row r="2" spans="1:5" x14ac:dyDescent="0.25">
      <c r="A2" t="e">
        <v>#REF!</v>
      </c>
      <c r="B2" s="34">
        <v>45722.446597222224</v>
      </c>
      <c r="C2" t="s">
        <v>11</v>
      </c>
      <c r="D2" t="s">
        <v>31</v>
      </c>
      <c r="E2" t="s">
        <v>32</v>
      </c>
    </row>
    <row r="3" spans="1:5" x14ac:dyDescent="0.25">
      <c r="A3" t="e">
        <v>#REF!</v>
      </c>
      <c r="B3" s="34">
        <v>45722.446597222224</v>
      </c>
      <c r="C3" t="s">
        <v>11</v>
      </c>
      <c r="D3" t="s">
        <v>33</v>
      </c>
      <c r="E3" t="s">
        <v>32</v>
      </c>
    </row>
    <row r="4" spans="1:5" x14ac:dyDescent="0.25">
      <c r="A4" t="s">
        <v>36</v>
      </c>
      <c r="B4" s="34">
        <v>45722.467210648145</v>
      </c>
      <c r="C4" t="s">
        <v>11</v>
      </c>
      <c r="D4" t="s">
        <v>31</v>
      </c>
      <c r="E4" t="s">
        <v>32</v>
      </c>
    </row>
    <row r="5" spans="1:5" x14ac:dyDescent="0.25">
      <c r="A5" t="s">
        <v>36</v>
      </c>
      <c r="B5" s="34">
        <v>45722.467210648145</v>
      </c>
      <c r="C5" t="s">
        <v>11</v>
      </c>
      <c r="D5" t="s">
        <v>33</v>
      </c>
      <c r="E5" t="s">
        <v>32</v>
      </c>
    </row>
    <row r="6" spans="1:5" x14ac:dyDescent="0.25">
      <c r="A6" t="s">
        <v>36</v>
      </c>
      <c r="B6" s="34">
        <v>45722.470127314817</v>
      </c>
      <c r="C6" t="s">
        <v>11</v>
      </c>
      <c r="D6" t="s">
        <v>31</v>
      </c>
      <c r="E6" t="s">
        <v>32</v>
      </c>
    </row>
    <row r="7" spans="1:5" x14ac:dyDescent="0.25">
      <c r="A7" t="s">
        <v>36</v>
      </c>
      <c r="B7" s="34">
        <v>45722.470127314817</v>
      </c>
      <c r="C7" t="s">
        <v>11</v>
      </c>
      <c r="D7" t="s">
        <v>33</v>
      </c>
      <c r="E7" t="s">
        <v>32</v>
      </c>
    </row>
    <row r="8" spans="1:5" x14ac:dyDescent="0.25">
      <c r="A8" t="e">
        <v>#REF!</v>
      </c>
      <c r="B8" s="34">
        <v>45722.66783564815</v>
      </c>
      <c r="C8" t="s">
        <v>11</v>
      </c>
      <c r="D8" t="s">
        <v>31</v>
      </c>
      <c r="E8" t="s">
        <v>32</v>
      </c>
    </row>
    <row r="9" spans="1:5" x14ac:dyDescent="0.25">
      <c r="A9" t="e">
        <v>#REF!</v>
      </c>
      <c r="B9" s="34">
        <v>45722.66783564815</v>
      </c>
      <c r="C9" t="s">
        <v>11</v>
      </c>
      <c r="D9" t="s">
        <v>33</v>
      </c>
      <c r="E9" t="s">
        <v>32</v>
      </c>
    </row>
    <row r="10" spans="1:5" x14ac:dyDescent="0.25">
      <c r="A10" t="e">
        <v>#REF!</v>
      </c>
      <c r="B10" s="34">
        <v>45727.677233796298</v>
      </c>
      <c r="C10" t="s">
        <v>11</v>
      </c>
      <c r="D10" t="s">
        <v>31</v>
      </c>
      <c r="E10" t="s">
        <v>32</v>
      </c>
    </row>
    <row r="11" spans="1:5" x14ac:dyDescent="0.25">
      <c r="A11" t="e">
        <v>#REF!</v>
      </c>
      <c r="B11" s="34">
        <v>45727.677233796298</v>
      </c>
      <c r="C11" t="s">
        <v>11</v>
      </c>
      <c r="D11" t="s">
        <v>33</v>
      </c>
      <c r="E11" t="s">
        <v>32</v>
      </c>
    </row>
    <row r="12" spans="1:5" x14ac:dyDescent="0.25">
      <c r="A12" t="e">
        <v>#REF!</v>
      </c>
      <c r="B12" s="34">
        <v>45729.621192129627</v>
      </c>
      <c r="C12" t="s">
        <v>11</v>
      </c>
      <c r="D12" t="s">
        <v>31</v>
      </c>
      <c r="E12" t="s">
        <v>32</v>
      </c>
    </row>
    <row r="13" spans="1:5" x14ac:dyDescent="0.25">
      <c r="A13" t="e">
        <v>#REF!</v>
      </c>
      <c r="B13" s="34">
        <v>45729.621192129627</v>
      </c>
      <c r="C13" t="s">
        <v>11</v>
      </c>
      <c r="D13" t="s">
        <v>33</v>
      </c>
      <c r="E13" t="s">
        <v>32</v>
      </c>
    </row>
    <row r="14" spans="1:5" x14ac:dyDescent="0.25">
      <c r="A14" t="e">
        <v>#REF!</v>
      </c>
      <c r="B14" s="34">
        <v>45897.59746527778</v>
      </c>
      <c r="C14" t="s">
        <v>11</v>
      </c>
      <c r="D14" t="s">
        <v>31</v>
      </c>
      <c r="E14" t="s">
        <v>32</v>
      </c>
    </row>
    <row r="15" spans="1:5" x14ac:dyDescent="0.25">
      <c r="A15" t="e">
        <v>#REF!</v>
      </c>
      <c r="B15" s="34">
        <v>45897.59746527778</v>
      </c>
      <c r="C15" t="s">
        <v>11</v>
      </c>
      <c r="D15" t="s">
        <v>33</v>
      </c>
      <c r="E15" t="s">
        <v>32</v>
      </c>
    </row>
    <row r="16" spans="1:5" x14ac:dyDescent="0.25">
      <c r="A16" t="e">
        <v>#REF!</v>
      </c>
      <c r="B16" s="34">
        <v>45897.615682870368</v>
      </c>
      <c r="C16" t="s">
        <v>11</v>
      </c>
      <c r="D16" t="s">
        <v>31</v>
      </c>
      <c r="E16" t="s">
        <v>92</v>
      </c>
    </row>
    <row r="17" spans="1:5" x14ac:dyDescent="0.25">
      <c r="A17" t="e">
        <v>#REF!</v>
      </c>
      <c r="B17" s="34">
        <v>45897.615682870368</v>
      </c>
      <c r="C17" t="s">
        <v>11</v>
      </c>
      <c r="D17" t="s">
        <v>33</v>
      </c>
      <c r="E17" t="s">
        <v>92</v>
      </c>
    </row>
    <row r="18" spans="1:5" x14ac:dyDescent="0.25">
      <c r="A18" t="s">
        <v>36</v>
      </c>
      <c r="B18" s="34">
        <v>45897.615752314814</v>
      </c>
      <c r="C18" t="s">
        <v>11</v>
      </c>
      <c r="D18" t="s">
        <v>31</v>
      </c>
      <c r="E18" t="s">
        <v>92</v>
      </c>
    </row>
    <row r="19" spans="1:5" x14ac:dyDescent="0.25">
      <c r="A19" t="s">
        <v>36</v>
      </c>
      <c r="B19" s="34">
        <v>45897.615752314814</v>
      </c>
      <c r="C19" t="s">
        <v>11</v>
      </c>
      <c r="D19" t="s">
        <v>33</v>
      </c>
      <c r="E19" t="s">
        <v>92</v>
      </c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Dashboard</vt:lpstr>
      <vt:lpstr>Checking</vt:lpstr>
      <vt:lpstr>Data</vt:lpstr>
      <vt:lpstr>Reference</vt:lpstr>
      <vt:lpstr>LOG</vt:lpstr>
      <vt:lpstr>Date</vt:lpstr>
      <vt:lpstr>Email_Body</vt:lpstr>
      <vt:lpstr>Folder_Location</vt:lpstr>
      <vt:lpstr>Folder_Navigation</vt:lpstr>
      <vt:lpstr>Last_Execution_Status</vt:lpstr>
      <vt:lpstr>Mailbox</vt:lpstr>
      <vt:lpstr>Start_Time</vt:lpstr>
      <vt:lpstr>Status</vt:lpstr>
      <vt:lpstr>Subject</vt:lpstr>
      <vt:lpstr>Time_Taken</vt:lpstr>
      <vt:lpstr>Top_Row_Number</vt:lpstr>
      <vt:lpstr>UserName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10:04 | GUID=RND-20250820100425-266242</dc:description>
  <cp:lastModifiedBy>Jerrison Chai</cp:lastModifiedBy>
  <dcterms:created xsi:type="dcterms:W3CDTF">2024-01-02T06:33:12Z</dcterms:created>
  <dcterms:modified xsi:type="dcterms:W3CDTF">2025-08-28T06:48:23Z</dcterms:modified>
</cp:coreProperties>
</file>